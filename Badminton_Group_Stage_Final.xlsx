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òng Bả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CCCCCC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hidden="1" width="13" customWidth="1" min="4" max="4"/>
    <col hidden="1" width="13" customWidth="1" min="5" max="5"/>
    <col width="15" customWidth="1" min="8" max="8"/>
    <col width="15" customWidth="1" min="9" max="9"/>
    <col width="10" customWidth="1" min="10" max="10"/>
    <col width="10" customWidth="1" min="11" max="11"/>
    <col width="20" customWidth="1" min="13" max="13"/>
  </cols>
  <sheetData>
    <row r="1">
      <c r="A1" s="1" t="inlineStr">
        <is>
          <t>Lịch Thi Đấu &amp; Kết Quả Vòng Bảng (1 Set)</t>
        </is>
      </c>
    </row>
    <row r="3">
      <c r="A3" s="2" t="inlineStr">
        <is>
          <t>Trận</t>
        </is>
      </c>
      <c r="B3" s="2" t="inlineStr">
        <is>
          <t>Bảng</t>
        </is>
      </c>
      <c r="C3" s="2" t="inlineStr">
        <is>
          <t>Cặp Đấu</t>
        </is>
      </c>
      <c r="D3" s="3" t="inlineStr">
        <is>
          <t>Ref P1</t>
        </is>
      </c>
      <c r="E3" s="3" t="inlineStr">
        <is>
          <t>Ref P2</t>
        </is>
      </c>
      <c r="F3" s="2" t="inlineStr">
        <is>
          <t>Điểm Đ1</t>
        </is>
      </c>
      <c r="G3" s="2" t="inlineStr">
        <is>
          <t>Điểm Đ2</t>
        </is>
      </c>
      <c r="H3" s="2" t="inlineStr">
        <is>
          <t>Đội Thắng</t>
        </is>
      </c>
      <c r="I3" s="2" t="inlineStr">
        <is>
          <t>Đội Thua</t>
        </is>
      </c>
      <c r="J3" s="2" t="inlineStr">
        <is>
          <t>Tỷ Số</t>
        </is>
      </c>
      <c r="K3" s="2" t="inlineStr">
        <is>
          <t>Hiệu Số</t>
        </is>
      </c>
      <c r="L3" s="4" t="inlineStr">
        <is>
          <t>Bảng Xếp Hạng - Bảng A</t>
        </is>
      </c>
    </row>
    <row r="4">
      <c r="A4" s="5" t="inlineStr">
        <is>
          <t>Trận 1</t>
        </is>
      </c>
      <c r="B4" s="5" t="inlineStr">
        <is>
          <t>A</t>
        </is>
      </c>
      <c r="C4" s="5">
        <f>D4 &amp; " vs " &amp; E4</f>
        <v/>
      </c>
      <c r="D4" t="inlineStr">
        <is>
          <t>Đội 1</t>
        </is>
      </c>
      <c r="E4" t="inlineStr">
        <is>
          <t>Đội 5</t>
        </is>
      </c>
      <c r="F4" s="5" t="n"/>
      <c r="G4" s="5" t="n"/>
      <c r="H4" s="5">
        <f>IF(F4&gt;G4, D4, IF(G4&gt;F4, E4, ""))</f>
        <v/>
      </c>
      <c r="I4" s="5">
        <f>IF(F4&gt;G4, E4, IF(G4&gt;F4, D4, ""))</f>
        <v/>
      </c>
      <c r="J4" s="5">
        <f>F4 &amp; "-" &amp; G4</f>
        <v/>
      </c>
      <c r="K4" s="5">
        <f>ABS(F4-G4)</f>
        <v/>
      </c>
      <c r="L4" s="2" t="inlineStr">
        <is>
          <t>Hạng</t>
        </is>
      </c>
      <c r="M4" s="2" t="inlineStr">
        <is>
          <t>Đội</t>
        </is>
      </c>
      <c r="N4" s="2" t="inlineStr">
        <is>
          <t>Số Trận</t>
        </is>
      </c>
      <c r="O4" s="2" t="inlineStr">
        <is>
          <t>Thắng</t>
        </is>
      </c>
      <c r="P4" s="2" t="inlineStr">
        <is>
          <t>Thua</t>
        </is>
      </c>
      <c r="Q4" s="2" t="inlineStr">
        <is>
          <t>Hiệu Số</t>
        </is>
      </c>
      <c r="R4" s="2" t="inlineStr">
        <is>
          <t>Điểm</t>
        </is>
      </c>
    </row>
    <row r="5">
      <c r="A5" s="5" t="inlineStr">
        <is>
          <t>Trận 2</t>
        </is>
      </c>
      <c r="B5" s="5" t="inlineStr">
        <is>
          <t>A</t>
        </is>
      </c>
      <c r="C5" s="5">
        <f>D5 &amp; " vs " &amp; E5</f>
        <v/>
      </c>
      <c r="D5" t="inlineStr">
        <is>
          <t>Đội 5</t>
        </is>
      </c>
      <c r="E5" t="inlineStr">
        <is>
          <t>Đội 9</t>
        </is>
      </c>
      <c r="F5" s="5" t="n"/>
      <c r="G5" s="5" t="n"/>
      <c r="H5" s="5">
        <f>IF(F5&gt;G5, D5, IF(G5&gt;F5, E5, ""))</f>
        <v/>
      </c>
      <c r="I5" s="5">
        <f>IF(F5&gt;G5, E5, IF(G5&gt;F5, D5, ""))</f>
        <v/>
      </c>
      <c r="J5" s="5">
        <f>F5 &amp; "-" &amp; G5</f>
        <v/>
      </c>
      <c r="K5" s="5">
        <f>ABS(F5-G5)</f>
        <v/>
      </c>
      <c r="L5" s="5">
        <f>RANK(R5, R5:R9)</f>
        <v/>
      </c>
      <c r="M5" s="5" t="inlineStr">
        <is>
          <t>Đội 1</t>
        </is>
      </c>
      <c r="N5" s="5">
        <f>COUNTIF($D$4:$D$19, M5) + COUNTIF($E$4:$E$19, M5)</f>
        <v/>
      </c>
      <c r="O5" s="5">
        <f>COUNTIF($H$4:$H$19, M5)</f>
        <v/>
      </c>
      <c r="P5" s="5">
        <f>N5-O5</f>
        <v/>
      </c>
      <c r="Q5" s="5">
        <f>(SUMIF($D$4:$D$19, M5, $F$4:$F$19) + SUMIF($E$4:$E$19, M5, $G$4:$G$19)) - (SUMIF($D$4:$D$19, M5, $G$4:$G$19) + SUMIF($E$4:$E$19, M5, $F$4:$F$19))</f>
        <v/>
      </c>
      <c r="R5" s="5">
        <f>O5*1</f>
        <v/>
      </c>
    </row>
    <row r="6">
      <c r="A6" s="5" t="inlineStr">
        <is>
          <t>Trận 3</t>
        </is>
      </c>
      <c r="B6" s="5" t="inlineStr">
        <is>
          <t>B</t>
        </is>
      </c>
      <c r="C6" s="5">
        <f>D6 &amp; " vs " &amp; E6</f>
        <v/>
      </c>
      <c r="D6" t="inlineStr">
        <is>
          <t>Đội 7</t>
        </is>
      </c>
      <c r="E6" t="inlineStr">
        <is>
          <t>Đội 3</t>
        </is>
      </c>
      <c r="F6" s="5" t="n"/>
      <c r="G6" s="5" t="n"/>
      <c r="H6" s="5">
        <f>IF(F6&gt;G6, D6, IF(G6&gt;F6, E6, ""))</f>
        <v/>
      </c>
      <c r="I6" s="5">
        <f>IF(F6&gt;G6, E6, IF(G6&gt;F6, D6, ""))</f>
        <v/>
      </c>
      <c r="J6" s="5">
        <f>F6 &amp; "-" &amp; G6</f>
        <v/>
      </c>
      <c r="K6" s="5">
        <f>ABS(F6-G6)</f>
        <v/>
      </c>
      <c r="L6" s="5">
        <f>RANK(R6, R5:R9)</f>
        <v/>
      </c>
      <c r="M6" s="5" t="inlineStr">
        <is>
          <t>Đội 4</t>
        </is>
      </c>
      <c r="N6" s="5">
        <f>COUNTIF($D$4:$D$19, M6) + COUNTIF($E$4:$E$19, M6)</f>
        <v/>
      </c>
      <c r="O6" s="5">
        <f>COUNTIF($H$4:$H$19, M6)</f>
        <v/>
      </c>
      <c r="P6" s="5">
        <f>N6-O6</f>
        <v/>
      </c>
      <c r="Q6" s="5">
        <f>(SUMIF($D$4:$D$19, M6, $F$4:$F$19) + SUMIF($E$4:$E$19, M6, $G$4:$G$19)) - (SUMIF($D$4:$D$19, M6, $G$4:$G$19) + SUMIF($E$4:$E$19, M6, $F$4:$F$19))</f>
        <v/>
      </c>
      <c r="R6" s="5">
        <f>O6*1</f>
        <v/>
      </c>
    </row>
    <row r="7">
      <c r="A7" s="5" t="inlineStr">
        <is>
          <t>Trận 4</t>
        </is>
      </c>
      <c r="B7" s="5" t="inlineStr">
        <is>
          <t>A</t>
        </is>
      </c>
      <c r="C7" s="5">
        <f>D7 &amp; " vs " &amp; E7</f>
        <v/>
      </c>
      <c r="D7" t="inlineStr">
        <is>
          <t>Đội 4</t>
        </is>
      </c>
      <c r="E7" t="inlineStr">
        <is>
          <t>Đội 6</t>
        </is>
      </c>
      <c r="F7" s="5" t="n"/>
      <c r="G7" s="5" t="n"/>
      <c r="H7" s="5">
        <f>IF(F7&gt;G7, D7, IF(G7&gt;F7, E7, ""))</f>
        <v/>
      </c>
      <c r="I7" s="5">
        <f>IF(F7&gt;G7, E7, IF(G7&gt;F7, D7, ""))</f>
        <v/>
      </c>
      <c r="J7" s="5">
        <f>F7 &amp; "-" &amp; G7</f>
        <v/>
      </c>
      <c r="K7" s="5">
        <f>ABS(F7-G7)</f>
        <v/>
      </c>
      <c r="L7" s="5">
        <f>RANK(R7, R5:R9)</f>
        <v/>
      </c>
      <c r="M7" s="5" t="inlineStr">
        <is>
          <t>Đội 5</t>
        </is>
      </c>
      <c r="N7" s="5">
        <f>COUNTIF($D$4:$D$19, M7) + COUNTIF($E$4:$E$19, M7)</f>
        <v/>
      </c>
      <c r="O7" s="5">
        <f>COUNTIF($H$4:$H$19, M7)</f>
        <v/>
      </c>
      <c r="P7" s="5">
        <f>N7-O7</f>
        <v/>
      </c>
      <c r="Q7" s="5">
        <f>(SUMIF($D$4:$D$19, M7, $F$4:$F$19) + SUMIF($E$4:$E$19, M7, $G$4:$G$19)) - (SUMIF($D$4:$D$19, M7, $G$4:$G$19) + SUMIF($E$4:$E$19, M7, $F$4:$F$19))</f>
        <v/>
      </c>
      <c r="R7" s="5">
        <f>O7*1</f>
        <v/>
      </c>
    </row>
    <row r="8">
      <c r="A8" s="5" t="inlineStr">
        <is>
          <t>Trận 5</t>
        </is>
      </c>
      <c r="B8" s="5" t="inlineStr">
        <is>
          <t>A</t>
        </is>
      </c>
      <c r="C8" s="5">
        <f>D8 &amp; " vs " &amp; E8</f>
        <v/>
      </c>
      <c r="D8" t="inlineStr">
        <is>
          <t>Đội 1</t>
        </is>
      </c>
      <c r="E8" t="inlineStr">
        <is>
          <t>Đội 9</t>
        </is>
      </c>
      <c r="F8" s="5" t="n"/>
      <c r="G8" s="5" t="n"/>
      <c r="H8" s="5">
        <f>IF(F8&gt;G8, D8, IF(G8&gt;F8, E8, ""))</f>
        <v/>
      </c>
      <c r="I8" s="5">
        <f>IF(F8&gt;G8, E8, IF(G8&gt;F8, D8, ""))</f>
        <v/>
      </c>
      <c r="J8" s="5">
        <f>F8 &amp; "-" &amp; G8</f>
        <v/>
      </c>
      <c r="K8" s="5">
        <f>ABS(F8-G8)</f>
        <v/>
      </c>
      <c r="L8" s="5">
        <f>RANK(R8, R5:R9)</f>
        <v/>
      </c>
      <c r="M8" s="5" t="inlineStr">
        <is>
          <t>Đội 6</t>
        </is>
      </c>
      <c r="N8" s="5">
        <f>COUNTIF($D$4:$D$19, M8) + COUNTIF($E$4:$E$19, M8)</f>
        <v/>
      </c>
      <c r="O8" s="5">
        <f>COUNTIF($H$4:$H$19, M8)</f>
        <v/>
      </c>
      <c r="P8" s="5">
        <f>N8-O8</f>
        <v/>
      </c>
      <c r="Q8" s="5">
        <f>(SUMIF($D$4:$D$19, M8, $F$4:$F$19) + SUMIF($E$4:$E$19, M8, $G$4:$G$19)) - (SUMIF($D$4:$D$19, M8, $G$4:$G$19) + SUMIF($E$4:$E$19, M8, $F$4:$F$19))</f>
        <v/>
      </c>
      <c r="R8" s="5">
        <f>O8*1</f>
        <v/>
      </c>
    </row>
    <row r="9">
      <c r="A9" s="5" t="inlineStr">
        <is>
          <t>Trận 6</t>
        </is>
      </c>
      <c r="B9" s="5" t="inlineStr">
        <is>
          <t>B</t>
        </is>
      </c>
      <c r="C9" s="5">
        <f>D9 &amp; " vs " &amp; E9</f>
        <v/>
      </c>
      <c r="D9" t="inlineStr">
        <is>
          <t>Đội 3</t>
        </is>
      </c>
      <c r="E9" t="inlineStr">
        <is>
          <t>Đội 8</t>
        </is>
      </c>
      <c r="F9" s="5" t="n"/>
      <c r="G9" s="5" t="n"/>
      <c r="H9" s="5">
        <f>IF(F9&gt;G9, D9, IF(G9&gt;F9, E9, ""))</f>
        <v/>
      </c>
      <c r="I9" s="5">
        <f>IF(F9&gt;G9, E9, IF(G9&gt;F9, D9, ""))</f>
        <v/>
      </c>
      <c r="J9" s="5">
        <f>F9 &amp; "-" &amp; G9</f>
        <v/>
      </c>
      <c r="K9" s="5">
        <f>ABS(F9-G9)</f>
        <v/>
      </c>
      <c r="L9" s="5">
        <f>RANK(R9, R5:R9)</f>
        <v/>
      </c>
      <c r="M9" s="5" t="inlineStr">
        <is>
          <t>Đội 9</t>
        </is>
      </c>
      <c r="N9" s="5">
        <f>COUNTIF($D$4:$D$19, M9) + COUNTIF($E$4:$E$19, M9)</f>
        <v/>
      </c>
      <c r="O9" s="5">
        <f>COUNTIF($H$4:$H$19, M9)</f>
        <v/>
      </c>
      <c r="P9" s="5">
        <f>N9-O9</f>
        <v/>
      </c>
      <c r="Q9" s="5">
        <f>(SUMIF($D$4:$D$19, M9, $F$4:$F$19) + SUMIF($E$4:$E$19, M9, $G$4:$G$19)) - (SUMIF($D$4:$D$19, M9, $G$4:$G$19) + SUMIF($E$4:$E$19, M9, $F$4:$F$19))</f>
        <v/>
      </c>
      <c r="R9" s="5">
        <f>O9*1</f>
        <v/>
      </c>
    </row>
    <row r="10">
      <c r="A10" s="5" t="inlineStr">
        <is>
          <t>Trận 7</t>
        </is>
      </c>
      <c r="B10" s="5" t="inlineStr">
        <is>
          <t>A</t>
        </is>
      </c>
      <c r="C10" s="5">
        <f>D10 &amp; " vs " &amp; E10</f>
        <v/>
      </c>
      <c r="D10" t="inlineStr">
        <is>
          <t>Đội 5</t>
        </is>
      </c>
      <c r="E10" t="inlineStr">
        <is>
          <t>Đội 4</t>
        </is>
      </c>
      <c r="F10" s="5" t="n"/>
      <c r="G10" s="5" t="n"/>
      <c r="H10" s="5">
        <f>IF(F10&gt;G10, D10, IF(G10&gt;F10, E10, ""))</f>
        <v/>
      </c>
      <c r="I10" s="5">
        <f>IF(F10&gt;G10, E10, IF(G10&gt;F10, D10, ""))</f>
        <v/>
      </c>
      <c r="J10" s="5">
        <f>F10 &amp; "-" &amp; G10</f>
        <v/>
      </c>
      <c r="K10" s="5">
        <f>ABS(F10-G10)</f>
        <v/>
      </c>
    </row>
    <row r="11">
      <c r="A11" s="5" t="inlineStr">
        <is>
          <t>Trận 8</t>
        </is>
      </c>
      <c r="B11" s="5" t="inlineStr">
        <is>
          <t>A</t>
        </is>
      </c>
      <c r="C11" s="5">
        <f>D11 &amp; " vs " &amp; E11</f>
        <v/>
      </c>
      <c r="D11" t="inlineStr">
        <is>
          <t>Đội 9</t>
        </is>
      </c>
      <c r="E11" t="inlineStr">
        <is>
          <t>Đội 6</t>
        </is>
      </c>
      <c r="F11" s="5" t="n"/>
      <c r="G11" s="5" t="n"/>
      <c r="H11" s="5">
        <f>IF(F11&gt;G11, D11, IF(G11&gt;F11, E11, ""))</f>
        <v/>
      </c>
      <c r="I11" s="5">
        <f>IF(F11&gt;G11, E11, IF(G11&gt;F11, D11, ""))</f>
        <v/>
      </c>
      <c r="J11" s="5">
        <f>F11 &amp; "-" &amp; G11</f>
        <v/>
      </c>
      <c r="K11" s="5">
        <f>ABS(F11-G11)</f>
        <v/>
      </c>
    </row>
    <row r="12">
      <c r="A12" s="5" t="inlineStr">
        <is>
          <t>Trận 9</t>
        </is>
      </c>
      <c r="B12" s="5" t="inlineStr">
        <is>
          <t>B</t>
        </is>
      </c>
      <c r="C12" s="5">
        <f>D12 &amp; " vs " &amp; E12</f>
        <v/>
      </c>
      <c r="D12" t="inlineStr">
        <is>
          <t>Đội 8</t>
        </is>
      </c>
      <c r="E12" t="inlineStr">
        <is>
          <t>Đội 2</t>
        </is>
      </c>
      <c r="F12" s="5" t="n"/>
      <c r="G12" s="5" t="n"/>
      <c r="H12" s="5">
        <f>IF(F12&gt;G12, D12, IF(G12&gt;F12, E12, ""))</f>
        <v/>
      </c>
      <c r="I12" s="5">
        <f>IF(F12&gt;G12, E12, IF(G12&gt;F12, D12, ""))</f>
        <v/>
      </c>
      <c r="J12" s="5">
        <f>F12 &amp; "-" &amp; G12</f>
        <v/>
      </c>
      <c r="K12" s="5">
        <f>ABS(F12-G12)</f>
        <v/>
      </c>
      <c r="L12" s="4" t="inlineStr">
        <is>
          <t>Bảng Xếp Hạng - Bảng B</t>
        </is>
      </c>
    </row>
    <row r="13">
      <c r="A13" s="5" t="inlineStr">
        <is>
          <t>Trận 10</t>
        </is>
      </c>
      <c r="B13" s="5" t="inlineStr">
        <is>
          <t>A</t>
        </is>
      </c>
      <c r="C13" s="5">
        <f>D13 &amp; " vs " &amp; E13</f>
        <v/>
      </c>
      <c r="D13" t="inlineStr">
        <is>
          <t>Đội 1</t>
        </is>
      </c>
      <c r="E13" t="inlineStr">
        <is>
          <t>Đội 4</t>
        </is>
      </c>
      <c r="F13" s="5" t="n"/>
      <c r="G13" s="5" t="n"/>
      <c r="H13" s="5">
        <f>IF(F13&gt;G13, D13, IF(G13&gt;F13, E13, ""))</f>
        <v/>
      </c>
      <c r="I13" s="5">
        <f>IF(F13&gt;G13, E13, IF(G13&gt;F13, D13, ""))</f>
        <v/>
      </c>
      <c r="J13" s="5">
        <f>F13 &amp; "-" &amp; G13</f>
        <v/>
      </c>
      <c r="K13" s="5">
        <f>ABS(F13-G13)</f>
        <v/>
      </c>
      <c r="L13" s="2" t="inlineStr">
        <is>
          <t>Hạng</t>
        </is>
      </c>
      <c r="M13" s="2" t="inlineStr">
        <is>
          <t>Đội</t>
        </is>
      </c>
      <c r="N13" s="2" t="inlineStr">
        <is>
          <t>Số Trận</t>
        </is>
      </c>
      <c r="O13" s="2" t="inlineStr">
        <is>
          <t>Thắng</t>
        </is>
      </c>
      <c r="P13" s="2" t="inlineStr">
        <is>
          <t>Thua</t>
        </is>
      </c>
      <c r="Q13" s="2" t="inlineStr">
        <is>
          <t>Hiệu Số</t>
        </is>
      </c>
      <c r="R13" s="2" t="inlineStr">
        <is>
          <t>Điểm</t>
        </is>
      </c>
    </row>
    <row r="14">
      <c r="A14" s="5" t="inlineStr">
        <is>
          <t>Trận 11</t>
        </is>
      </c>
      <c r="B14" s="5" t="inlineStr">
        <is>
          <t>A</t>
        </is>
      </c>
      <c r="C14" s="5">
        <f>D14 &amp; " vs " &amp; E14</f>
        <v/>
      </c>
      <c r="D14" t="inlineStr">
        <is>
          <t>Đội 5</t>
        </is>
      </c>
      <c r="E14" t="inlineStr">
        <is>
          <t>Đội 6</t>
        </is>
      </c>
      <c r="F14" s="5" t="n"/>
      <c r="G14" s="5" t="n"/>
      <c r="H14" s="5">
        <f>IF(F14&gt;G14, D14, IF(G14&gt;F14, E14, ""))</f>
        <v/>
      </c>
      <c r="I14" s="5">
        <f>IF(F14&gt;G14, E14, IF(G14&gt;F14, D14, ""))</f>
        <v/>
      </c>
      <c r="J14" s="5">
        <f>F14 &amp; "-" &amp; G14</f>
        <v/>
      </c>
      <c r="K14" s="5">
        <f>ABS(F14-G14)</f>
        <v/>
      </c>
      <c r="L14" s="5">
        <f>RANK(R14, R14:R17)</f>
        <v/>
      </c>
      <c r="M14" s="5" t="inlineStr">
        <is>
          <t>Đội 2</t>
        </is>
      </c>
      <c r="N14" s="5">
        <f>COUNTIF($D$4:$D$19, M14) + COUNTIF($E$4:$E$19, M14)</f>
        <v/>
      </c>
      <c r="O14" s="5">
        <f>COUNTIF($H$4:$H$19, M14)</f>
        <v/>
      </c>
      <c r="P14" s="5">
        <f>N14-O14</f>
        <v/>
      </c>
      <c r="Q14" s="5">
        <f>(SUMIF($D$4:$D$19, M14, $F$4:$F$19) + SUMIF($E$4:$E$19, M14, $G$4:$G$19)) - (SUMIF($D$4:$D$19, M14, $G$4:$G$19) + SUMIF($E$4:$E$19, M14, $F$4:$F$19))</f>
        <v/>
      </c>
      <c r="R14" s="5">
        <f>O14*1</f>
        <v/>
      </c>
    </row>
    <row r="15">
      <c r="A15" s="5" t="inlineStr">
        <is>
          <t>Trận 12</t>
        </is>
      </c>
      <c r="B15" s="5" t="inlineStr">
        <is>
          <t>B</t>
        </is>
      </c>
      <c r="C15" s="5">
        <f>D15 &amp; " vs " &amp; E15</f>
        <v/>
      </c>
      <c r="D15" t="inlineStr">
        <is>
          <t>Đội 7</t>
        </is>
      </c>
      <c r="E15" t="inlineStr">
        <is>
          <t>Đội 8</t>
        </is>
      </c>
      <c r="F15" s="5" t="n"/>
      <c r="G15" s="5" t="n"/>
      <c r="H15" s="5">
        <f>IF(F15&gt;G15, D15, IF(G15&gt;F15, E15, ""))</f>
        <v/>
      </c>
      <c r="I15" s="5">
        <f>IF(F15&gt;G15, E15, IF(G15&gt;F15, D15, ""))</f>
        <v/>
      </c>
      <c r="J15" s="5">
        <f>F15 &amp; "-" &amp; G15</f>
        <v/>
      </c>
      <c r="K15" s="5">
        <f>ABS(F15-G15)</f>
        <v/>
      </c>
      <c r="L15" s="5">
        <f>RANK(R15, R14:R17)</f>
        <v/>
      </c>
      <c r="M15" s="5" t="inlineStr">
        <is>
          <t>Đội 3</t>
        </is>
      </c>
      <c r="N15" s="5">
        <f>COUNTIF($D$4:$D$19, M15) + COUNTIF($E$4:$E$19, M15)</f>
        <v/>
      </c>
      <c r="O15" s="5">
        <f>COUNTIF($H$4:$H$19, M15)</f>
        <v/>
      </c>
      <c r="P15" s="5">
        <f>N15-O15</f>
        <v/>
      </c>
      <c r="Q15" s="5">
        <f>(SUMIF($D$4:$D$19, M15, $F$4:$F$19) + SUMIF($E$4:$E$19, M15, $G$4:$G$19)) - (SUMIF($D$4:$D$19, M15, $G$4:$G$19) + SUMIF($E$4:$E$19, M15, $F$4:$F$19))</f>
        <v/>
      </c>
      <c r="R15" s="5">
        <f>O15*1</f>
        <v/>
      </c>
    </row>
    <row r="16">
      <c r="A16" s="5" t="inlineStr">
        <is>
          <t>Trận 13</t>
        </is>
      </c>
      <c r="B16" s="5" t="inlineStr">
        <is>
          <t>A</t>
        </is>
      </c>
      <c r="C16" s="5">
        <f>D16 &amp; " vs " &amp; E16</f>
        <v/>
      </c>
      <c r="D16" t="inlineStr">
        <is>
          <t>Đội 9</t>
        </is>
      </c>
      <c r="E16" t="inlineStr">
        <is>
          <t>Đội 4</t>
        </is>
      </c>
      <c r="F16" s="5" t="n"/>
      <c r="G16" s="5" t="n"/>
      <c r="H16" s="5">
        <f>IF(F16&gt;G16, D16, IF(G16&gt;F16, E16, ""))</f>
        <v/>
      </c>
      <c r="I16" s="5">
        <f>IF(F16&gt;G16, E16, IF(G16&gt;F16, D16, ""))</f>
        <v/>
      </c>
      <c r="J16" s="5">
        <f>F16 &amp; "-" &amp; G16</f>
        <v/>
      </c>
      <c r="K16" s="5">
        <f>ABS(F16-G16)</f>
        <v/>
      </c>
      <c r="L16" s="5">
        <f>RANK(R16, R14:R17)</f>
        <v/>
      </c>
      <c r="M16" s="5" t="inlineStr">
        <is>
          <t>Đội 7</t>
        </is>
      </c>
      <c r="N16" s="5">
        <f>COUNTIF($D$4:$D$19, M16) + COUNTIF($E$4:$E$19, M16)</f>
        <v/>
      </c>
      <c r="O16" s="5">
        <f>COUNTIF($H$4:$H$19, M16)</f>
        <v/>
      </c>
      <c r="P16" s="5">
        <f>N16-O16</f>
        <v/>
      </c>
      <c r="Q16" s="5">
        <f>(SUMIF($D$4:$D$19, M16, $F$4:$F$19) + SUMIF($E$4:$E$19, M16, $G$4:$G$19)) - (SUMIF($D$4:$D$19, M16, $G$4:$G$19) + SUMIF($E$4:$E$19, M16, $F$4:$F$19))</f>
        <v/>
      </c>
      <c r="R16" s="5">
        <f>O16*1</f>
        <v/>
      </c>
    </row>
    <row r="17">
      <c r="A17" s="5" t="inlineStr">
        <is>
          <t>Trận 14</t>
        </is>
      </c>
      <c r="B17" s="5" t="inlineStr">
        <is>
          <t>A</t>
        </is>
      </c>
      <c r="C17" s="5">
        <f>D17 &amp; " vs " &amp; E17</f>
        <v/>
      </c>
      <c r="D17" t="inlineStr">
        <is>
          <t>Đội 1</t>
        </is>
      </c>
      <c r="E17" t="inlineStr">
        <is>
          <t>Đội 6</t>
        </is>
      </c>
      <c r="F17" s="5" t="n"/>
      <c r="G17" s="5" t="n"/>
      <c r="H17" s="5">
        <f>IF(F17&gt;G17, D17, IF(G17&gt;F17, E17, ""))</f>
        <v/>
      </c>
      <c r="I17" s="5">
        <f>IF(F17&gt;G17, E17, IF(G17&gt;F17, D17, ""))</f>
        <v/>
      </c>
      <c r="J17" s="5">
        <f>F17 &amp; "-" &amp; G17</f>
        <v/>
      </c>
      <c r="K17" s="5">
        <f>ABS(F17-G17)</f>
        <v/>
      </c>
      <c r="L17" s="5">
        <f>RANK(R17, R14:R17)</f>
        <v/>
      </c>
      <c r="M17" s="5" t="inlineStr">
        <is>
          <t>Đội 8</t>
        </is>
      </c>
      <c r="N17" s="5">
        <f>COUNTIF($D$4:$D$19, M17) + COUNTIF($E$4:$E$19, M17)</f>
        <v/>
      </c>
      <c r="O17" s="5">
        <f>COUNTIF($H$4:$H$19, M17)</f>
        <v/>
      </c>
      <c r="P17" s="5">
        <f>N17-O17</f>
        <v/>
      </c>
      <c r="Q17" s="5">
        <f>(SUMIF($D$4:$D$19, M17, $F$4:$F$19) + SUMIF($E$4:$E$19, M17, $G$4:$G$19)) - (SUMIF($D$4:$D$19, M17, $G$4:$G$19) + SUMIF($E$4:$E$19, M17, $F$4:$F$19))</f>
        <v/>
      </c>
      <c r="R17" s="5">
        <f>O17*1</f>
        <v/>
      </c>
    </row>
    <row r="18">
      <c r="A18" s="5" t="inlineStr">
        <is>
          <t>Trận 15</t>
        </is>
      </c>
      <c r="B18" s="5" t="inlineStr">
        <is>
          <t>B</t>
        </is>
      </c>
      <c r="C18" s="5">
        <f>D18 &amp; " vs " &amp; E18</f>
        <v/>
      </c>
      <c r="D18" t="inlineStr">
        <is>
          <t>Đội 3</t>
        </is>
      </c>
      <c r="E18" t="inlineStr">
        <is>
          <t>Đội 2</t>
        </is>
      </c>
      <c r="F18" s="5" t="n"/>
      <c r="G18" s="5" t="n"/>
      <c r="H18" s="5">
        <f>IF(F18&gt;G18, D18, IF(G18&gt;F18, E18, ""))</f>
        <v/>
      </c>
      <c r="I18" s="5">
        <f>IF(F18&gt;G18, E18, IF(G18&gt;F18, D18, ""))</f>
        <v/>
      </c>
      <c r="J18" s="5">
        <f>F18 &amp; "-" &amp; G18</f>
        <v/>
      </c>
      <c r="K18" s="5">
        <f>ABS(F18-G18)</f>
        <v/>
      </c>
    </row>
    <row r="19">
      <c r="A19" s="5" t="inlineStr">
        <is>
          <t>Trận 16</t>
        </is>
      </c>
      <c r="B19" s="5" t="inlineStr">
        <is>
          <t>B</t>
        </is>
      </c>
      <c r="C19" s="5">
        <f>D19 &amp; " vs " &amp; E19</f>
        <v/>
      </c>
      <c r="D19" t="inlineStr">
        <is>
          <t>Đội 7</t>
        </is>
      </c>
      <c r="E19" t="inlineStr">
        <is>
          <t>Đội 2</t>
        </is>
      </c>
      <c r="F19" s="5" t="n"/>
      <c r="G19" s="5" t="n"/>
      <c r="H19" s="5">
        <f>IF(F19&gt;G19, D19, IF(G19&gt;F19, E19, ""))</f>
        <v/>
      </c>
      <c r="I19" s="5">
        <f>IF(F19&gt;G19, E19, IF(G19&gt;F19, D19, ""))</f>
        <v/>
      </c>
      <c r="J19" s="5">
        <f>F19 &amp; "-" &amp; G19</f>
        <v/>
      </c>
      <c r="K19" s="5">
        <f>ABS(F19-G19)</f>
        <v/>
      </c>
    </row>
  </sheetData>
  <mergeCells count="3">
    <mergeCell ref="L3:R3"/>
    <mergeCell ref="A1:J1"/>
    <mergeCell ref="L12:R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2026-02-02T11:26:44Z</dcterms:created>
  <dcterms:modified xsi:type="dcterms:W3CDTF">2026-02-02T11:26:44Z</dcterms:modified>
</cp:coreProperties>
</file>